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SRILEGA\"/>
    </mc:Choice>
  </mc:AlternateContent>
  <xr:revisionPtr revIDLastSave="0" documentId="13_ncr:1_{1EC768A7-A136-45D0-AD1D-54D1830F37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3" i="1" l="1"/>
  <c r="J46" i="1"/>
  <c r="F21" i="1"/>
  <c r="D38" i="1"/>
  <c r="D43" i="1" s="1"/>
  <c r="B59" i="1"/>
</calcChain>
</file>

<file path=xl/sharedStrings.xml><?xml version="1.0" encoding="utf-8"?>
<sst xmlns="http://schemas.openxmlformats.org/spreadsheetml/2006/main" count="9" uniqueCount="8">
  <si>
    <t>RVNL</t>
  </si>
  <si>
    <t>NITHYAKALA</t>
  </si>
  <si>
    <t>KOTAK</t>
  </si>
  <si>
    <t>ZERODHA</t>
  </si>
  <si>
    <t>X</t>
  </si>
  <si>
    <t>LOAN</t>
  </si>
  <si>
    <t>PF</t>
  </si>
  <si>
    <t>RADHAKRISHNAN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</si>
</sst>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workbookViewId="0">
      <selection activeCell="J9" sqref="J9"/>
    </sheetView>
  </sheetViews>
  <sheetFormatPr defaultRowHeight="14.4" x14ac:dyDescent="0.3"/>
  <sheetData>
    <row r="1" spans="1:6" x14ac:dyDescent="0.3">
      <c r="A1" s="1" t="s">
        <v>1</v>
      </c>
      <c r="B1" s="1"/>
      <c r="D1" s="1" t="s">
        <v>7</v>
      </c>
      <c r="E1" s="1"/>
      <c r="F1" s="1"/>
    </row>
    <row r="2" spans="1:6" x14ac:dyDescent="0.3">
      <c r="A2" s="1" t="s">
        <v>3</v>
      </c>
      <c r="B2" s="1"/>
      <c r="D2" s="2" t="s">
        <v>3</v>
      </c>
      <c r="E2" s="2"/>
      <c r="F2" s="2" t="s">
        <v>2</v>
      </c>
    </row>
    <row r="3" spans="1:6" x14ac:dyDescent="0.3">
      <c r="A3" t="s">
        <v>0</v>
      </c>
      <c r="B3">
        <v>314630</v>
      </c>
      <c r="D3">
        <v>170175</v>
      </c>
      <c r="F3">
        <v>189670</v>
      </c>
    </row>
    <row r="4" spans="1:6" x14ac:dyDescent="0.3">
      <c r="B4">
        <v>128650</v>
      </c>
      <c r="D4">
        <v>83119</v>
      </c>
      <c r="F4">
        <v>133171</v>
      </c>
    </row>
    <row r="5" spans="1:6" x14ac:dyDescent="0.3">
      <c r="B5">
        <v>195758</v>
      </c>
      <c r="D5">
        <v>132807</v>
      </c>
      <c r="F5">
        <v>69161</v>
      </c>
    </row>
    <row r="6" spans="1:6" x14ac:dyDescent="0.3">
      <c r="B6">
        <v>95250</v>
      </c>
      <c r="D6">
        <v>141943</v>
      </c>
      <c r="F6">
        <v>92808</v>
      </c>
    </row>
    <row r="7" spans="1:6" x14ac:dyDescent="0.3">
      <c r="B7">
        <v>93863</v>
      </c>
      <c r="D7">
        <v>71170</v>
      </c>
      <c r="F7">
        <v>18124</v>
      </c>
    </row>
    <row r="8" spans="1:6" x14ac:dyDescent="0.3">
      <c r="B8">
        <v>198220</v>
      </c>
      <c r="D8">
        <v>31032</v>
      </c>
      <c r="F8">
        <v>19822</v>
      </c>
    </row>
    <row r="9" spans="1:6" x14ac:dyDescent="0.3">
      <c r="B9">
        <v>107418</v>
      </c>
      <c r="D9">
        <v>23669</v>
      </c>
      <c r="F9">
        <v>39154</v>
      </c>
    </row>
    <row r="10" spans="1:6" x14ac:dyDescent="0.3">
      <c r="B10">
        <v>69030</v>
      </c>
      <c r="D10">
        <v>10032</v>
      </c>
      <c r="F10">
        <v>33996</v>
      </c>
    </row>
    <row r="11" spans="1:6" x14ac:dyDescent="0.3">
      <c r="B11">
        <v>124332</v>
      </c>
      <c r="D11">
        <v>18515</v>
      </c>
      <c r="F11">
        <v>55438</v>
      </c>
    </row>
    <row r="12" spans="1:6" x14ac:dyDescent="0.3">
      <c r="B12">
        <v>33042</v>
      </c>
      <c r="D12">
        <v>14138</v>
      </c>
      <c r="F12">
        <v>7538</v>
      </c>
    </row>
    <row r="13" spans="1:6" x14ac:dyDescent="0.3">
      <c r="B13">
        <v>23650</v>
      </c>
      <c r="D13">
        <v>8475</v>
      </c>
      <c r="F13">
        <v>10032</v>
      </c>
    </row>
    <row r="14" spans="1:6" x14ac:dyDescent="0.3">
      <c r="B14">
        <v>26293</v>
      </c>
      <c r="D14">
        <v>8740</v>
      </c>
      <c r="F14">
        <v>12181</v>
      </c>
    </row>
    <row r="15" spans="1:6" x14ac:dyDescent="0.3">
      <c r="B15">
        <v>24970</v>
      </c>
      <c r="D15">
        <v>8742</v>
      </c>
      <c r="F15">
        <v>22333</v>
      </c>
    </row>
    <row r="16" spans="1:6" x14ac:dyDescent="0.3">
      <c r="B16">
        <v>18930</v>
      </c>
      <c r="D16">
        <v>6367</v>
      </c>
      <c r="F16">
        <v>12853</v>
      </c>
    </row>
    <row r="17" spans="2:6" x14ac:dyDescent="0.3">
      <c r="B17">
        <v>21078</v>
      </c>
      <c r="D17">
        <v>14584</v>
      </c>
      <c r="F17">
        <v>5659</v>
      </c>
    </row>
    <row r="18" spans="2:6" x14ac:dyDescent="0.3">
      <c r="B18">
        <v>15188</v>
      </c>
      <c r="D18">
        <v>7717</v>
      </c>
      <c r="F18">
        <v>7232</v>
      </c>
    </row>
    <row r="19" spans="2:6" x14ac:dyDescent="0.3">
      <c r="B19">
        <v>95591</v>
      </c>
      <c r="D19">
        <v>3978</v>
      </c>
      <c r="F19">
        <v>20289</v>
      </c>
    </row>
    <row r="20" spans="2:6" x14ac:dyDescent="0.3">
      <c r="B20">
        <v>11339</v>
      </c>
      <c r="D20">
        <v>6351</v>
      </c>
      <c r="F20">
        <v>8630</v>
      </c>
    </row>
    <row r="21" spans="2:6" x14ac:dyDescent="0.3">
      <c r="B21">
        <v>10032</v>
      </c>
      <c r="D21">
        <v>8478</v>
      </c>
      <c r="F21">
        <f>SUM(F3:F20)</f>
        <v>758091</v>
      </c>
    </row>
    <row r="22" spans="2:6" x14ac:dyDescent="0.3">
      <c r="B22">
        <v>25105</v>
      </c>
      <c r="D22">
        <v>3557</v>
      </c>
    </row>
    <row r="23" spans="2:6" x14ac:dyDescent="0.3">
      <c r="B23">
        <v>14584</v>
      </c>
      <c r="D23">
        <v>16695</v>
      </c>
    </row>
    <row r="24" spans="2:6" x14ac:dyDescent="0.3">
      <c r="B24">
        <v>18316</v>
      </c>
      <c r="D24">
        <v>8015</v>
      </c>
    </row>
    <row r="25" spans="2:6" x14ac:dyDescent="0.3">
      <c r="B25">
        <v>11367</v>
      </c>
      <c r="D25">
        <v>4331</v>
      </c>
    </row>
    <row r="26" spans="2:6" x14ac:dyDescent="0.3">
      <c r="B26">
        <v>64568</v>
      </c>
      <c r="D26">
        <v>5174</v>
      </c>
    </row>
    <row r="27" spans="2:6" x14ac:dyDescent="0.3">
      <c r="B27">
        <v>14094</v>
      </c>
      <c r="D27">
        <v>4182</v>
      </c>
    </row>
    <row r="28" spans="2:6" x14ac:dyDescent="0.3">
      <c r="B28">
        <v>24247</v>
      </c>
      <c r="D28">
        <v>4249</v>
      </c>
    </row>
    <row r="29" spans="2:6" x14ac:dyDescent="0.3">
      <c r="B29">
        <v>7324</v>
      </c>
      <c r="D29">
        <v>2434</v>
      </c>
    </row>
    <row r="30" spans="2:6" x14ac:dyDescent="0.3">
      <c r="B30">
        <v>7816</v>
      </c>
      <c r="D30">
        <v>1945</v>
      </c>
    </row>
    <row r="31" spans="2:6" x14ac:dyDescent="0.3">
      <c r="B31">
        <v>30474</v>
      </c>
      <c r="D31">
        <v>5766</v>
      </c>
    </row>
    <row r="32" spans="2:6" x14ac:dyDescent="0.3">
      <c r="B32">
        <v>11060</v>
      </c>
      <c r="D32">
        <v>1654</v>
      </c>
    </row>
    <row r="33" spans="2:14" x14ac:dyDescent="0.3">
      <c r="B33">
        <v>12989</v>
      </c>
      <c r="D33">
        <v>1316</v>
      </c>
    </row>
    <row r="34" spans="2:14" x14ac:dyDescent="0.3">
      <c r="B34">
        <v>9114</v>
      </c>
      <c r="D34">
        <v>1345</v>
      </c>
    </row>
    <row r="35" spans="2:14" x14ac:dyDescent="0.3">
      <c r="B35">
        <v>7013</v>
      </c>
      <c r="D35">
        <v>1268</v>
      </c>
    </row>
    <row r="36" spans="2:14" x14ac:dyDescent="0.3">
      <c r="B36">
        <v>8275</v>
      </c>
      <c r="D36">
        <v>6760</v>
      </c>
    </row>
    <row r="37" spans="2:14" x14ac:dyDescent="0.3">
      <c r="B37">
        <v>6256</v>
      </c>
      <c r="D37">
        <v>2091</v>
      </c>
    </row>
    <row r="38" spans="2:14" x14ac:dyDescent="0.3">
      <c r="B38">
        <v>6482</v>
      </c>
      <c r="D38">
        <f>SUM(D3:D37)</f>
        <v>840814</v>
      </c>
    </row>
    <row r="39" spans="2:14" x14ac:dyDescent="0.3">
      <c r="B39">
        <v>5151</v>
      </c>
    </row>
    <row r="40" spans="2:14" x14ac:dyDescent="0.3">
      <c r="B40">
        <v>6286</v>
      </c>
    </row>
    <row r="41" spans="2:14" x14ac:dyDescent="0.3">
      <c r="B41">
        <v>7980</v>
      </c>
    </row>
    <row r="42" spans="2:14" x14ac:dyDescent="0.3">
      <c r="B42">
        <v>38012</v>
      </c>
    </row>
    <row r="43" spans="2:14" x14ac:dyDescent="0.3">
      <c r="B43">
        <v>2825</v>
      </c>
      <c r="D43">
        <f>D38+B59+F21</f>
        <v>3639702</v>
      </c>
      <c r="I43" t="s">
        <v>4</v>
      </c>
      <c r="J43">
        <v>900000</v>
      </c>
      <c r="L43">
        <v>1200</v>
      </c>
      <c r="M43">
        <v>5500</v>
      </c>
      <c r="N43">
        <f>L43*M43</f>
        <v>6600000</v>
      </c>
    </row>
    <row r="44" spans="2:14" x14ac:dyDescent="0.3">
      <c r="B44">
        <v>24437</v>
      </c>
      <c r="I44" t="s">
        <v>5</v>
      </c>
      <c r="J44">
        <v>1000000</v>
      </c>
    </row>
    <row r="45" spans="2:14" x14ac:dyDescent="0.3">
      <c r="B45">
        <v>2931</v>
      </c>
      <c r="I45" t="s">
        <v>6</v>
      </c>
      <c r="J45">
        <v>500000</v>
      </c>
    </row>
    <row r="46" spans="2:14" x14ac:dyDescent="0.3">
      <c r="B46">
        <v>2491</v>
      </c>
      <c r="J46">
        <f>D43+J43+J44+J45</f>
        <v>6039702</v>
      </c>
    </row>
    <row r="47" spans="2:14" x14ac:dyDescent="0.3">
      <c r="B47">
        <v>15000</v>
      </c>
    </row>
    <row r="48" spans="2:14" x14ac:dyDescent="0.3">
      <c r="B48">
        <v>2803</v>
      </c>
    </row>
    <row r="49" spans="2:2" x14ac:dyDescent="0.3">
      <c r="B49">
        <v>2983</v>
      </c>
    </row>
    <row r="50" spans="2:2" x14ac:dyDescent="0.3">
      <c r="B50">
        <v>19794</v>
      </c>
    </row>
    <row r="51" spans="2:2" x14ac:dyDescent="0.3">
      <c r="B51">
        <v>1773</v>
      </c>
    </row>
    <row r="52" spans="2:2" x14ac:dyDescent="0.3">
      <c r="B52">
        <v>2883</v>
      </c>
    </row>
    <row r="53" spans="2:2" x14ac:dyDescent="0.3">
      <c r="B53">
        <v>1597</v>
      </c>
    </row>
    <row r="54" spans="2:2" x14ac:dyDescent="0.3">
      <c r="B54">
        <v>1650</v>
      </c>
    </row>
    <row r="55" spans="2:2" x14ac:dyDescent="0.3">
      <c r="B55">
        <v>1575</v>
      </c>
    </row>
    <row r="56" spans="2:2" x14ac:dyDescent="0.3">
      <c r="B56">
        <v>7419</v>
      </c>
    </row>
    <row r="57" spans="2:2" x14ac:dyDescent="0.3">
      <c r="B57">
        <v>5300</v>
      </c>
    </row>
    <row r="58" spans="2:2" x14ac:dyDescent="0.3">
      <c r="B58">
        <v>1559</v>
      </c>
    </row>
    <row r="59" spans="2:2" x14ac:dyDescent="0.3">
      <c r="B59">
        <f>SUM(B3:B58)</f>
        <v>2040797</v>
      </c>
    </row>
  </sheetData>
  <mergeCells count="3">
    <mergeCell ref="A2:B2"/>
    <mergeCell ref="D1:F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N SRILEGA</dc:creator>
  <cp:lastModifiedBy>srilegarn@gmail.com</cp:lastModifiedBy>
  <dcterms:created xsi:type="dcterms:W3CDTF">2015-06-05T18:17:20Z</dcterms:created>
  <dcterms:modified xsi:type="dcterms:W3CDTF">2025-05-19T15:36:06Z</dcterms:modified>
</cp:coreProperties>
</file>