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RILEGA\"/>
    </mc:Choice>
  </mc:AlternateContent>
  <xr:revisionPtr revIDLastSave="0" documentId="13_ncr:1_{CAC9A49F-802E-42A5-9AD1-BAB76FB9A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1" sheetId="1" r:id="rId1"/>
    <sheet name="SEM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D7" i="2"/>
  <c r="D5" i="2"/>
  <c r="D6" i="2" s="1"/>
  <c r="H19" i="1"/>
  <c r="H38" i="1"/>
  <c r="E45" i="1"/>
  <c r="E46" i="1"/>
  <c r="E44" i="1"/>
  <c r="H33" i="1"/>
  <c r="H34" i="1"/>
  <c r="H35" i="1"/>
  <c r="H36" i="1"/>
  <c r="H37" i="1"/>
  <c r="H32" i="1"/>
  <c r="O32" i="1"/>
  <c r="O33" i="1" s="1"/>
  <c r="L32" i="1"/>
  <c r="L33" i="1" s="1"/>
  <c r="M32" i="1"/>
  <c r="M33" i="1" s="1"/>
  <c r="N32" i="1"/>
  <c r="N33" i="1" s="1"/>
  <c r="H9" i="1"/>
  <c r="N8" i="1"/>
  <c r="O7" i="1"/>
  <c r="L15" i="1"/>
  <c r="M15" i="1" s="1"/>
  <c r="L13" i="1"/>
  <c r="P3" i="1"/>
  <c r="Q3" i="1" s="1"/>
  <c r="P4" i="1"/>
  <c r="Q4" i="1" s="1"/>
  <c r="P5" i="1"/>
  <c r="Q5" i="1" s="1"/>
  <c r="P6" i="1"/>
  <c r="Q6" i="1" s="1"/>
  <c r="P7" i="1"/>
  <c r="Q7" i="1" s="1"/>
  <c r="P2" i="1"/>
  <c r="Q2" i="1" s="1"/>
  <c r="I4" i="1"/>
  <c r="I5" i="1"/>
  <c r="L10" i="1" s="1"/>
  <c r="I6" i="1"/>
  <c r="L11" i="1" s="1"/>
  <c r="I7" i="1"/>
  <c r="L12" i="1" s="1"/>
  <c r="I8" i="1"/>
  <c r="I3" i="1"/>
  <c r="L8" i="1" s="1"/>
  <c r="H20" i="1"/>
  <c r="G5" i="2" l="1"/>
  <c r="G6" i="2" s="1"/>
  <c r="I9" i="1"/>
  <c r="L9" i="1"/>
  <c r="M8" i="1" s="1"/>
  <c r="N13" i="1"/>
  <c r="N14" i="1" s="1"/>
  <c r="M35" i="1"/>
  <c r="O35" i="1"/>
  <c r="Q8" i="1"/>
  <c r="O10" i="1" s="1"/>
  <c r="P10" i="1" s="1"/>
  <c r="H5" i="2" l="1"/>
  <c r="H6" i="2" s="1"/>
</calcChain>
</file>

<file path=xl/sharedStrings.xml><?xml version="1.0" encoding="utf-8"?>
<sst xmlns="http://schemas.openxmlformats.org/spreadsheetml/2006/main" count="82" uniqueCount="41">
  <si>
    <t>FAT 1</t>
  </si>
  <si>
    <t>ENGLISH</t>
  </si>
  <si>
    <t>PHY</t>
  </si>
  <si>
    <t>MATHS</t>
  </si>
  <si>
    <t>CHEM</t>
  </si>
  <si>
    <t>C</t>
  </si>
  <si>
    <t>BEEE</t>
  </si>
  <si>
    <t>OOPS C++</t>
  </si>
  <si>
    <t>DPSD</t>
  </si>
  <si>
    <t>TECHNICAL DRAWING</t>
  </si>
  <si>
    <t>FAT 2</t>
  </si>
  <si>
    <t>FAT 3</t>
  </si>
  <si>
    <t>INTERNAL</t>
  </si>
  <si>
    <t>EXTERNAL</t>
  </si>
  <si>
    <t>TOTAL</t>
  </si>
  <si>
    <t>LABORATORY</t>
  </si>
  <si>
    <t>SEMESTER 2</t>
  </si>
  <si>
    <t>EXT (100)</t>
  </si>
  <si>
    <t>ROUGH</t>
  </si>
  <si>
    <t>difference</t>
  </si>
  <si>
    <t>PY3(theory come lab)</t>
  </si>
  <si>
    <t>OOPS</t>
  </si>
  <si>
    <t>CGPA : 7.979</t>
  </si>
  <si>
    <t>CGPA :8.137</t>
  </si>
  <si>
    <t>SEMESTER :3</t>
  </si>
  <si>
    <t>AI</t>
  </si>
  <si>
    <t>DSA</t>
  </si>
  <si>
    <t>MPCA</t>
  </si>
  <si>
    <t>DBMS</t>
  </si>
  <si>
    <t>DMDW</t>
  </si>
  <si>
    <t>CGPA :7.960</t>
  </si>
  <si>
    <t>SEM 1</t>
  </si>
  <si>
    <t>SEM 2</t>
  </si>
  <si>
    <t>SEM 3</t>
  </si>
  <si>
    <t>SEM 4</t>
  </si>
  <si>
    <t>SEMESTER : 4</t>
  </si>
  <si>
    <t>MLT</t>
  </si>
  <si>
    <t>DAA</t>
  </si>
  <si>
    <t>OS</t>
  </si>
  <si>
    <t>JAVA</t>
  </si>
  <si>
    <t>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</si>
</sst>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0" fillId="4" borderId="0" xfId="0" applyFill="1"/>
    <xf numFmtId="0" fontId="0" fillId="4" borderId="2" xfId="0" applyFill="1" applyBorder="1"/>
    <xf numFmtId="2" fontId="0" fillId="4" borderId="0" xfId="0" applyNumberFormat="1" applyFill="1"/>
    <xf numFmtId="0" fontId="0" fillId="2" borderId="3" xfId="0" applyFill="1" applyBorder="1"/>
    <xf numFmtId="0" fontId="0" fillId="4" borderId="4" xfId="0" applyFill="1" applyBorder="1"/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9"/>
  <sheetViews>
    <sheetView tabSelected="1" topLeftCell="A25" zoomScale="74" workbookViewId="0">
      <selection activeCell="C55" sqref="C55"/>
    </sheetView>
  </sheetViews>
  <sheetFormatPr defaultRowHeight="14.4" x14ac:dyDescent="0.3"/>
  <cols>
    <col min="6" max="6" width="10" customWidth="1"/>
    <col min="7" max="7" width="10.109375" customWidth="1"/>
    <col min="12" max="12" width="10.5546875" customWidth="1"/>
    <col min="13" max="13" width="10.109375" customWidth="1"/>
  </cols>
  <sheetData>
    <row r="2" spans="1:17" x14ac:dyDescent="0.3">
      <c r="B2" s="18" t="s">
        <v>0</v>
      </c>
      <c r="C2" s="19"/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17</v>
      </c>
      <c r="J2" s="6"/>
      <c r="K2" s="17" t="s">
        <v>15</v>
      </c>
      <c r="L2" s="17"/>
      <c r="M2" s="17"/>
      <c r="N2" s="17"/>
      <c r="P2" s="6">
        <f>(J3/100)*60</f>
        <v>48</v>
      </c>
      <c r="Q2" s="6">
        <f>P2+F3</f>
        <v>83</v>
      </c>
    </row>
    <row r="3" spans="1:17" x14ac:dyDescent="0.3">
      <c r="B3" s="1" t="s">
        <v>1</v>
      </c>
      <c r="C3" s="1">
        <v>43</v>
      </c>
      <c r="D3" s="1"/>
      <c r="E3" s="1"/>
      <c r="F3" s="1">
        <v>35</v>
      </c>
      <c r="G3" s="1">
        <v>44</v>
      </c>
      <c r="H3" s="1">
        <v>79</v>
      </c>
      <c r="I3" s="5">
        <f>(G3/60)*100</f>
        <v>73.333333333333329</v>
      </c>
      <c r="J3" s="7">
        <v>80</v>
      </c>
      <c r="K3" s="3"/>
      <c r="L3" s="4" t="s">
        <v>12</v>
      </c>
      <c r="M3" s="4" t="s">
        <v>13</v>
      </c>
      <c r="N3" s="4" t="s">
        <v>14</v>
      </c>
      <c r="P3" s="6">
        <f t="shared" ref="P3:P7" si="0">(J4/100)*60</f>
        <v>45.6</v>
      </c>
      <c r="Q3" s="6">
        <f t="shared" ref="Q3:Q7" si="1">P3+F4</f>
        <v>73.599999999999994</v>
      </c>
    </row>
    <row r="4" spans="1:17" x14ac:dyDescent="0.3">
      <c r="B4" s="1" t="s">
        <v>2</v>
      </c>
      <c r="C4" s="1">
        <v>41</v>
      </c>
      <c r="D4" s="1"/>
      <c r="E4" s="1"/>
      <c r="F4" s="1">
        <v>28</v>
      </c>
      <c r="G4" s="1">
        <v>44</v>
      </c>
      <c r="H4" s="1">
        <v>72</v>
      </c>
      <c r="I4" s="5">
        <f t="shared" ref="I4:I8" si="2">(G4/60)*100</f>
        <v>73.333333333333329</v>
      </c>
      <c r="J4" s="7">
        <v>76</v>
      </c>
      <c r="K4" s="3" t="s">
        <v>6</v>
      </c>
      <c r="L4" s="3">
        <v>59</v>
      </c>
      <c r="M4" s="3">
        <v>40</v>
      </c>
      <c r="N4" s="3">
        <v>99</v>
      </c>
      <c r="O4" s="7">
        <v>99</v>
      </c>
      <c r="P4" s="6">
        <f t="shared" si="0"/>
        <v>42</v>
      </c>
      <c r="Q4" s="6">
        <f t="shared" si="1"/>
        <v>76</v>
      </c>
    </row>
    <row r="5" spans="1:17" x14ac:dyDescent="0.3">
      <c r="B5" s="1" t="s">
        <v>3</v>
      </c>
      <c r="C5" s="1">
        <v>31</v>
      </c>
      <c r="D5" s="1">
        <v>45</v>
      </c>
      <c r="E5" s="1">
        <v>44</v>
      </c>
      <c r="F5" s="1">
        <v>34</v>
      </c>
      <c r="G5" s="1">
        <v>38</v>
      </c>
      <c r="H5" s="1">
        <v>72</v>
      </c>
      <c r="I5" s="5">
        <f t="shared" si="2"/>
        <v>63.333333333333329</v>
      </c>
      <c r="J5" s="7">
        <v>70</v>
      </c>
      <c r="K5" s="3" t="s">
        <v>2</v>
      </c>
      <c r="L5" s="3">
        <v>47</v>
      </c>
      <c r="M5" s="3">
        <v>33</v>
      </c>
      <c r="N5" s="3">
        <v>80</v>
      </c>
      <c r="O5" s="7">
        <v>95</v>
      </c>
      <c r="P5" s="6">
        <f t="shared" si="0"/>
        <v>48</v>
      </c>
      <c r="Q5" s="6">
        <f t="shared" si="1"/>
        <v>80</v>
      </c>
    </row>
    <row r="6" spans="1:17" x14ac:dyDescent="0.3">
      <c r="B6" s="1" t="s">
        <v>4</v>
      </c>
      <c r="C6" s="1">
        <v>32</v>
      </c>
      <c r="D6" s="1"/>
      <c r="E6" s="1"/>
      <c r="F6" s="1">
        <v>32</v>
      </c>
      <c r="G6" s="1">
        <v>48</v>
      </c>
      <c r="H6" s="1">
        <v>81</v>
      </c>
      <c r="I6" s="5">
        <f t="shared" si="2"/>
        <v>80</v>
      </c>
      <c r="J6" s="6">
        <v>80</v>
      </c>
      <c r="K6" s="3" t="s">
        <v>5</v>
      </c>
      <c r="L6" s="3">
        <v>54</v>
      </c>
      <c r="M6" s="3">
        <v>36</v>
      </c>
      <c r="N6" s="3">
        <v>90</v>
      </c>
      <c r="O6" s="7">
        <v>90</v>
      </c>
      <c r="P6" s="6">
        <f t="shared" si="0"/>
        <v>48</v>
      </c>
      <c r="Q6" s="6">
        <f t="shared" si="1"/>
        <v>80</v>
      </c>
    </row>
    <row r="7" spans="1:17" x14ac:dyDescent="0.3">
      <c r="B7" s="1" t="s">
        <v>5</v>
      </c>
      <c r="C7" s="1">
        <v>37</v>
      </c>
      <c r="D7" s="1"/>
      <c r="E7" s="1"/>
      <c r="F7" s="1">
        <v>32</v>
      </c>
      <c r="G7" s="1">
        <v>42</v>
      </c>
      <c r="H7" s="1">
        <v>74</v>
      </c>
      <c r="I7" s="5">
        <f t="shared" si="2"/>
        <v>70</v>
      </c>
      <c r="J7" s="7">
        <v>80</v>
      </c>
      <c r="O7" s="6">
        <f>O4+O5+O6</f>
        <v>284</v>
      </c>
      <c r="P7" s="6">
        <f t="shared" si="0"/>
        <v>46.800000000000004</v>
      </c>
      <c r="Q7" s="6">
        <f t="shared" si="1"/>
        <v>78.800000000000011</v>
      </c>
    </row>
    <row r="8" spans="1:17" x14ac:dyDescent="0.3">
      <c r="B8" s="1" t="s">
        <v>6</v>
      </c>
      <c r="C8" s="1">
        <v>44</v>
      </c>
      <c r="D8" s="1"/>
      <c r="E8" s="1"/>
      <c r="F8" s="1">
        <v>32</v>
      </c>
      <c r="G8" s="9">
        <v>47</v>
      </c>
      <c r="H8" s="1">
        <v>79</v>
      </c>
      <c r="I8" s="5">
        <f t="shared" si="2"/>
        <v>78.333333333333329</v>
      </c>
      <c r="J8" s="10">
        <v>78</v>
      </c>
      <c r="L8" s="8">
        <f>J3-I3</f>
        <v>6.6666666666666714</v>
      </c>
      <c r="M8" s="8">
        <f>L8+L9+L10+L12</f>
        <v>26.000000000000014</v>
      </c>
      <c r="N8" s="6">
        <f>N4+N5+N6</f>
        <v>269</v>
      </c>
      <c r="O8" s="6"/>
      <c r="P8" s="6"/>
      <c r="Q8" s="6">
        <f>Q2+Q3+Q4+Q5+Q6+Q7</f>
        <v>471.40000000000003</v>
      </c>
    </row>
    <row r="9" spans="1:17" x14ac:dyDescent="0.3">
      <c r="D9" s="22" t="s">
        <v>22</v>
      </c>
      <c r="E9" s="23"/>
      <c r="F9" s="23"/>
      <c r="G9" s="24"/>
      <c r="H9" s="3">
        <f>H3+H4+H5+H6+H7+H8</f>
        <v>457</v>
      </c>
      <c r="I9" s="5">
        <f>I3+I4+I5+I6+I7+I8</f>
        <v>438.33333333333331</v>
      </c>
      <c r="L9" s="8">
        <f t="shared" ref="L9:L13" si="3">J4-I4</f>
        <v>2.6666666666666714</v>
      </c>
      <c r="M9" s="6"/>
      <c r="N9" s="6"/>
      <c r="O9" s="6"/>
      <c r="P9" s="6"/>
      <c r="Q9" s="6"/>
    </row>
    <row r="10" spans="1:17" x14ac:dyDescent="0.3">
      <c r="A10" s="2" t="s">
        <v>16</v>
      </c>
      <c r="L10" s="8">
        <f t="shared" si="3"/>
        <v>6.6666666666666714</v>
      </c>
      <c r="M10" s="6"/>
      <c r="N10" s="6"/>
      <c r="O10" s="6">
        <f>N8+Q8</f>
        <v>740.40000000000009</v>
      </c>
      <c r="P10" s="6">
        <f>O10/800</f>
        <v>0.9255000000000001</v>
      </c>
    </row>
    <row r="11" spans="1:17" x14ac:dyDescent="0.3">
      <c r="L11" s="8">
        <f t="shared" si="3"/>
        <v>0</v>
      </c>
      <c r="M11" s="6"/>
      <c r="N11" s="6"/>
      <c r="O11" s="6"/>
      <c r="P11" s="6"/>
    </row>
    <row r="12" spans="1:17" x14ac:dyDescent="0.3">
      <c r="B12" s="18" t="s">
        <v>0</v>
      </c>
      <c r="C12" s="19"/>
      <c r="D12" s="4" t="s">
        <v>10</v>
      </c>
      <c r="E12" s="4" t="s">
        <v>11</v>
      </c>
      <c r="F12" s="4" t="s">
        <v>12</v>
      </c>
      <c r="G12" s="4" t="s">
        <v>13</v>
      </c>
      <c r="H12" s="4" t="s">
        <v>14</v>
      </c>
      <c r="L12" s="8">
        <f t="shared" si="3"/>
        <v>10</v>
      </c>
      <c r="M12" s="6"/>
      <c r="N12" s="6"/>
      <c r="O12" s="6"/>
      <c r="P12" s="6"/>
    </row>
    <row r="13" spans="1:17" x14ac:dyDescent="0.3">
      <c r="B13" s="1" t="s">
        <v>1</v>
      </c>
      <c r="C13" s="1">
        <v>32</v>
      </c>
      <c r="D13" s="1">
        <v>32</v>
      </c>
      <c r="E13" s="1">
        <v>28</v>
      </c>
      <c r="F13" s="1">
        <v>27</v>
      </c>
      <c r="G13" s="1">
        <v>49</v>
      </c>
      <c r="H13" s="1">
        <v>76</v>
      </c>
      <c r="L13" s="8">
        <f t="shared" si="3"/>
        <v>-0.3333333333333286</v>
      </c>
      <c r="M13" s="6"/>
      <c r="N13" s="6">
        <f>H9+N8</f>
        <v>726</v>
      </c>
      <c r="O13" s="6"/>
      <c r="P13" s="6"/>
    </row>
    <row r="14" spans="1:17" x14ac:dyDescent="0.3">
      <c r="B14" s="1" t="s">
        <v>3</v>
      </c>
      <c r="C14" s="1">
        <v>37</v>
      </c>
      <c r="D14" s="1">
        <v>32</v>
      </c>
      <c r="E14" s="1">
        <v>30</v>
      </c>
      <c r="F14" s="1">
        <v>30</v>
      </c>
      <c r="G14" s="1">
        <v>46</v>
      </c>
      <c r="H14" s="1">
        <v>76</v>
      </c>
      <c r="L14" s="8"/>
      <c r="M14" s="6"/>
      <c r="N14" s="6">
        <f>N13/800</f>
        <v>0.90749999999999997</v>
      </c>
      <c r="O14" s="6"/>
      <c r="P14" s="6"/>
    </row>
    <row r="15" spans="1:17" x14ac:dyDescent="0.3">
      <c r="B15" s="1" t="s">
        <v>20</v>
      </c>
      <c r="C15" s="1">
        <v>46</v>
      </c>
      <c r="D15" s="1">
        <v>43</v>
      </c>
      <c r="E15" s="1">
        <v>45</v>
      </c>
      <c r="F15" s="1">
        <v>46</v>
      </c>
      <c r="G15" s="1">
        <v>20</v>
      </c>
      <c r="H15" s="1">
        <v>92</v>
      </c>
      <c r="L15" s="8">
        <f>(85/100)*60</f>
        <v>51</v>
      </c>
      <c r="M15" s="8">
        <f>L15+F3</f>
        <v>86</v>
      </c>
      <c r="N15" s="6"/>
      <c r="O15" s="6"/>
      <c r="P15" s="6"/>
    </row>
    <row r="16" spans="1:17" x14ac:dyDescent="0.3">
      <c r="B16" s="1" t="s">
        <v>7</v>
      </c>
      <c r="C16" s="1">
        <v>43</v>
      </c>
      <c r="D16" s="1">
        <v>33</v>
      </c>
      <c r="E16" s="1">
        <v>47</v>
      </c>
      <c r="F16" s="1">
        <v>34</v>
      </c>
      <c r="G16" s="1">
        <v>48</v>
      </c>
      <c r="H16" s="1">
        <v>82</v>
      </c>
    </row>
    <row r="17" spans="1:15" x14ac:dyDescent="0.3">
      <c r="B17" s="1" t="s">
        <v>8</v>
      </c>
      <c r="C17" s="1">
        <v>40</v>
      </c>
      <c r="D17" s="1">
        <v>47</v>
      </c>
      <c r="E17" s="1">
        <v>46</v>
      </c>
      <c r="F17" s="1">
        <v>36</v>
      </c>
      <c r="G17" s="1">
        <v>34</v>
      </c>
      <c r="H17" s="1">
        <v>89</v>
      </c>
    </row>
    <row r="18" spans="1:15" ht="24.6" x14ac:dyDescent="0.3">
      <c r="B18" s="11" t="s">
        <v>9</v>
      </c>
      <c r="C18" s="1">
        <v>46</v>
      </c>
      <c r="D18" s="1">
        <v>32</v>
      </c>
      <c r="E18" s="1">
        <v>40</v>
      </c>
      <c r="F18" s="1">
        <v>34</v>
      </c>
      <c r="G18" s="1">
        <v>40</v>
      </c>
      <c r="H18" s="1">
        <v>74</v>
      </c>
    </row>
    <row r="19" spans="1:15" x14ac:dyDescent="0.3">
      <c r="H19">
        <f>H13+H14+H15+H16+H17+H18</f>
        <v>489</v>
      </c>
      <c r="O19" s="6" t="s">
        <v>18</v>
      </c>
    </row>
    <row r="20" spans="1:15" x14ac:dyDescent="0.3">
      <c r="D20">
        <v>27</v>
      </c>
      <c r="H20">
        <f>44/60</f>
        <v>0.73333333333333328</v>
      </c>
    </row>
    <row r="21" spans="1:15" x14ac:dyDescent="0.3">
      <c r="D21" t="s">
        <v>19</v>
      </c>
    </row>
    <row r="22" spans="1:15" x14ac:dyDescent="0.3">
      <c r="F22" s="20" t="s">
        <v>23</v>
      </c>
      <c r="G22" s="21"/>
      <c r="H22" s="21"/>
    </row>
    <row r="23" spans="1:15" x14ac:dyDescent="0.3">
      <c r="B23" s="17" t="s">
        <v>15</v>
      </c>
      <c r="C23" s="17"/>
      <c r="D23" s="17"/>
      <c r="E23" s="17"/>
    </row>
    <row r="24" spans="1:15" x14ac:dyDescent="0.3">
      <c r="B24" s="3"/>
      <c r="C24" s="4" t="s">
        <v>12</v>
      </c>
      <c r="D24" s="4" t="s">
        <v>13</v>
      </c>
      <c r="E24" s="4" t="s">
        <v>14</v>
      </c>
    </row>
    <row r="25" spans="1:15" x14ac:dyDescent="0.3">
      <c r="B25" s="3" t="s">
        <v>21</v>
      </c>
      <c r="C25" s="3">
        <v>48</v>
      </c>
      <c r="D25" s="3">
        <v>36</v>
      </c>
      <c r="E25" s="3">
        <v>84</v>
      </c>
    </row>
    <row r="26" spans="1:15" x14ac:dyDescent="0.3">
      <c r="B26" s="3" t="s">
        <v>8</v>
      </c>
      <c r="C26" s="3">
        <v>55</v>
      </c>
      <c r="D26" s="3">
        <v>34</v>
      </c>
      <c r="E26" s="3">
        <v>89</v>
      </c>
    </row>
    <row r="27" spans="1:15" x14ac:dyDescent="0.3">
      <c r="B27" s="3"/>
      <c r="C27" s="3"/>
      <c r="D27" s="3"/>
      <c r="E27" s="3"/>
    </row>
    <row r="28" spans="1:15" x14ac:dyDescent="0.3">
      <c r="L28" s="3">
        <v>7</v>
      </c>
      <c r="M28" s="3">
        <v>9</v>
      </c>
      <c r="N28" s="3">
        <v>8</v>
      </c>
      <c r="O28" s="3">
        <v>9</v>
      </c>
    </row>
    <row r="29" spans="1:15" x14ac:dyDescent="0.3">
      <c r="A29" s="20" t="s">
        <v>24</v>
      </c>
      <c r="B29" s="21"/>
      <c r="L29" s="3">
        <v>8</v>
      </c>
      <c r="M29" s="3">
        <v>6</v>
      </c>
      <c r="N29" s="3">
        <v>9</v>
      </c>
      <c r="O29" s="3">
        <v>10</v>
      </c>
    </row>
    <row r="30" spans="1:15" x14ac:dyDescent="0.3">
      <c r="L30" s="3">
        <v>6</v>
      </c>
      <c r="M30" s="3">
        <v>10</v>
      </c>
      <c r="N30" s="3">
        <v>7</v>
      </c>
      <c r="O30" s="3">
        <v>8</v>
      </c>
    </row>
    <row r="31" spans="1:15" x14ac:dyDescent="0.3">
      <c r="B31" s="18" t="s">
        <v>0</v>
      </c>
      <c r="C31" s="19"/>
      <c r="D31" s="4" t="s">
        <v>10</v>
      </c>
      <c r="E31" s="4" t="s">
        <v>11</v>
      </c>
      <c r="F31" s="4" t="s">
        <v>12</v>
      </c>
      <c r="G31" s="4" t="s">
        <v>13</v>
      </c>
      <c r="H31" s="4" t="s">
        <v>14</v>
      </c>
      <c r="L31" s="3">
        <v>9</v>
      </c>
      <c r="M31" s="3">
        <v>7</v>
      </c>
      <c r="N31" s="3">
        <v>7</v>
      </c>
      <c r="O31" s="3">
        <v>9</v>
      </c>
    </row>
    <row r="32" spans="1:15" ht="15" thickBot="1" x14ac:dyDescent="0.35">
      <c r="B32" s="1" t="s">
        <v>3</v>
      </c>
      <c r="C32" s="1">
        <v>30</v>
      </c>
      <c r="D32" s="1">
        <v>37</v>
      </c>
      <c r="E32" s="1">
        <v>30</v>
      </c>
      <c r="F32" s="1">
        <v>26</v>
      </c>
      <c r="G32" s="1">
        <v>42</v>
      </c>
      <c r="H32" s="1">
        <f>F32+G32</f>
        <v>68</v>
      </c>
      <c r="L32" s="13">
        <f t="shared" ref="L32:M32" si="4">L28+L29+L30+L31</f>
        <v>30</v>
      </c>
      <c r="M32" s="13">
        <f t="shared" si="4"/>
        <v>32</v>
      </c>
      <c r="N32" s="13">
        <f>N28+N29+N30+N31</f>
        <v>31</v>
      </c>
      <c r="O32" s="13">
        <f>O28+O29+O30+O31</f>
        <v>36</v>
      </c>
    </row>
    <row r="33" spans="2:15" ht="15" thickBot="1" x14ac:dyDescent="0.35">
      <c r="B33" s="1" t="s">
        <v>25</v>
      </c>
      <c r="C33" s="1">
        <v>30</v>
      </c>
      <c r="D33" s="1">
        <v>27</v>
      </c>
      <c r="E33" s="1">
        <v>34</v>
      </c>
      <c r="F33" s="1">
        <v>27</v>
      </c>
      <c r="G33" s="1">
        <v>49</v>
      </c>
      <c r="H33" s="1">
        <f t="shared" ref="H33:H37" si="5">F33+G33</f>
        <v>76</v>
      </c>
      <c r="L33" s="14">
        <f t="shared" ref="L33:M33" si="6">L32/4</f>
        <v>7.5</v>
      </c>
      <c r="M33" s="15">
        <f t="shared" si="6"/>
        <v>8</v>
      </c>
      <c r="N33" s="15">
        <f>N32/4</f>
        <v>7.75</v>
      </c>
      <c r="O33" s="16">
        <f>O32/4</f>
        <v>9</v>
      </c>
    </row>
    <row r="34" spans="2:15" x14ac:dyDescent="0.3">
      <c r="B34" s="1" t="s">
        <v>26</v>
      </c>
      <c r="C34" s="1">
        <v>34</v>
      </c>
      <c r="D34" s="1">
        <v>33</v>
      </c>
      <c r="E34" s="1">
        <v>40</v>
      </c>
      <c r="F34" s="1">
        <v>29</v>
      </c>
      <c r="G34" s="1">
        <v>42</v>
      </c>
      <c r="H34" s="1">
        <f t="shared" si="5"/>
        <v>71</v>
      </c>
    </row>
    <row r="35" spans="2:15" x14ac:dyDescent="0.3">
      <c r="B35" s="1" t="s">
        <v>27</v>
      </c>
      <c r="C35" s="1">
        <v>38</v>
      </c>
      <c r="D35" s="1">
        <v>40</v>
      </c>
      <c r="E35" s="1">
        <v>37</v>
      </c>
      <c r="F35" s="1">
        <v>32</v>
      </c>
      <c r="G35" s="1">
        <v>49</v>
      </c>
      <c r="H35" s="1">
        <f t="shared" si="5"/>
        <v>81</v>
      </c>
      <c r="M35">
        <f>(L33+M33+N33)/3</f>
        <v>7.75</v>
      </c>
      <c r="O35">
        <f>(L33+M33+N33+O33)/4</f>
        <v>8.0625</v>
      </c>
    </row>
    <row r="36" spans="2:15" x14ac:dyDescent="0.3">
      <c r="B36" s="1" t="s">
        <v>28</v>
      </c>
      <c r="C36" s="1">
        <v>41</v>
      </c>
      <c r="D36" s="1">
        <v>42</v>
      </c>
      <c r="E36" s="1">
        <v>41</v>
      </c>
      <c r="F36" s="1">
        <v>35</v>
      </c>
      <c r="G36" s="1">
        <v>44</v>
      </c>
      <c r="H36" s="1">
        <f t="shared" si="5"/>
        <v>79</v>
      </c>
    </row>
    <row r="37" spans="2:15" x14ac:dyDescent="0.3">
      <c r="B37" s="12" t="s">
        <v>29</v>
      </c>
      <c r="C37" s="1">
        <v>32</v>
      </c>
      <c r="D37" s="1">
        <v>44</v>
      </c>
      <c r="E37" s="1">
        <v>41</v>
      </c>
      <c r="F37" s="1">
        <v>34</v>
      </c>
      <c r="G37" s="1">
        <v>43</v>
      </c>
      <c r="H37" s="1">
        <f t="shared" si="5"/>
        <v>77</v>
      </c>
    </row>
    <row r="38" spans="2:15" x14ac:dyDescent="0.3">
      <c r="H38" s="1">
        <f>H32+H33+H34+H35+H36+H37</f>
        <v>452</v>
      </c>
    </row>
    <row r="39" spans="2:15" x14ac:dyDescent="0.3">
      <c r="K39" s="20" t="s">
        <v>30</v>
      </c>
      <c r="L39" s="21"/>
      <c r="M39" s="21"/>
    </row>
    <row r="42" spans="2:15" x14ac:dyDescent="0.3">
      <c r="B42" s="17" t="s">
        <v>15</v>
      </c>
      <c r="C42" s="17"/>
      <c r="D42" s="17"/>
      <c r="E42" s="17"/>
    </row>
    <row r="43" spans="2:15" x14ac:dyDescent="0.3">
      <c r="B43" s="3"/>
      <c r="C43" s="4" t="s">
        <v>12</v>
      </c>
      <c r="D43" s="4" t="s">
        <v>13</v>
      </c>
      <c r="E43" s="4" t="s">
        <v>14</v>
      </c>
    </row>
    <row r="44" spans="2:15" x14ac:dyDescent="0.3">
      <c r="B44" s="3" t="s">
        <v>26</v>
      </c>
      <c r="C44" s="3">
        <v>56</v>
      </c>
      <c r="D44" s="3">
        <v>32</v>
      </c>
      <c r="E44" s="3">
        <f>C44+D44</f>
        <v>88</v>
      </c>
    </row>
    <row r="45" spans="2:15" x14ac:dyDescent="0.3">
      <c r="B45" s="3" t="s">
        <v>28</v>
      </c>
      <c r="C45" s="3">
        <v>51</v>
      </c>
      <c r="D45" s="3">
        <v>36</v>
      </c>
      <c r="E45" s="3">
        <f t="shared" ref="E45:E46" si="7">C45+D45</f>
        <v>87</v>
      </c>
    </row>
    <row r="46" spans="2:15" x14ac:dyDescent="0.3">
      <c r="B46" s="3" t="s">
        <v>27</v>
      </c>
      <c r="C46" s="3">
        <v>46</v>
      </c>
      <c r="D46" s="3">
        <v>38</v>
      </c>
      <c r="E46" s="3">
        <f t="shared" si="7"/>
        <v>84</v>
      </c>
    </row>
    <row r="47" spans="2:15" x14ac:dyDescent="0.3">
      <c r="B47" s="3"/>
      <c r="C47" s="3"/>
      <c r="D47" s="3"/>
      <c r="E47" s="3"/>
    </row>
    <row r="50" spans="1:8" x14ac:dyDescent="0.3">
      <c r="A50" s="2" t="s">
        <v>35</v>
      </c>
    </row>
    <row r="51" spans="1:8" x14ac:dyDescent="0.3">
      <c r="A51" s="2"/>
    </row>
    <row r="52" spans="1:8" x14ac:dyDescent="0.3">
      <c r="B52" s="18" t="s">
        <v>0</v>
      </c>
      <c r="C52" s="19"/>
      <c r="D52" s="4" t="s">
        <v>10</v>
      </c>
      <c r="E52" s="4" t="s">
        <v>11</v>
      </c>
      <c r="F52" s="4" t="s">
        <v>12</v>
      </c>
      <c r="G52" s="4" t="s">
        <v>13</v>
      </c>
      <c r="H52" s="4" t="s">
        <v>14</v>
      </c>
    </row>
    <row r="53" spans="1:8" x14ac:dyDescent="0.3">
      <c r="B53" s="1" t="s">
        <v>3</v>
      </c>
      <c r="C53" s="1">
        <v>41</v>
      </c>
      <c r="D53" s="1"/>
      <c r="E53" s="1"/>
      <c r="F53" s="1"/>
      <c r="G53" s="1"/>
      <c r="H53" s="1"/>
    </row>
    <row r="54" spans="1:8" x14ac:dyDescent="0.3">
      <c r="B54" s="1" t="s">
        <v>36</v>
      </c>
      <c r="C54" s="1">
        <v>40</v>
      </c>
      <c r="D54" s="1"/>
      <c r="E54" s="1"/>
      <c r="F54" s="1"/>
      <c r="G54" s="1"/>
      <c r="H54" s="1"/>
    </row>
    <row r="55" spans="1:8" x14ac:dyDescent="0.3">
      <c r="B55" s="1" t="s">
        <v>37</v>
      </c>
      <c r="C55" s="1"/>
      <c r="D55" s="1"/>
      <c r="E55" s="1"/>
      <c r="F55" s="1"/>
      <c r="G55" s="1"/>
      <c r="H55" s="1"/>
    </row>
    <row r="56" spans="1:8" x14ac:dyDescent="0.3">
      <c r="B56" s="1" t="s">
        <v>38</v>
      </c>
      <c r="C56" s="1"/>
      <c r="D56" s="1"/>
      <c r="E56" s="1"/>
      <c r="F56" s="1"/>
      <c r="G56" s="1"/>
      <c r="H56" s="1"/>
    </row>
    <row r="57" spans="1:8" x14ac:dyDescent="0.3">
      <c r="B57" s="1" t="s">
        <v>39</v>
      </c>
      <c r="C57" s="1"/>
      <c r="D57" s="1"/>
      <c r="E57" s="1"/>
      <c r="F57" s="1"/>
      <c r="G57" s="1"/>
      <c r="H57" s="1"/>
    </row>
    <row r="58" spans="1:8" x14ac:dyDescent="0.3">
      <c r="B58" s="12" t="s">
        <v>40</v>
      </c>
      <c r="C58" s="1"/>
      <c r="D58" s="1"/>
      <c r="E58" s="1"/>
      <c r="F58" s="1"/>
      <c r="G58" s="1"/>
      <c r="H58" s="1"/>
    </row>
    <row r="59" spans="1:8" x14ac:dyDescent="0.3">
      <c r="H59" s="1"/>
    </row>
  </sheetData>
  <mergeCells count="11">
    <mergeCell ref="B52:C52"/>
    <mergeCell ref="B42:E42"/>
    <mergeCell ref="B31:C31"/>
    <mergeCell ref="A29:B29"/>
    <mergeCell ref="B2:C2"/>
    <mergeCell ref="K2:N2"/>
    <mergeCell ref="B12:C12"/>
    <mergeCell ref="B23:E23"/>
    <mergeCell ref="D9:G9"/>
    <mergeCell ref="F22:H22"/>
    <mergeCell ref="K39:M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2A01-7C94-4669-AC3D-D636BF0516E1}">
  <dimension ref="C1:H8"/>
  <sheetViews>
    <sheetView topLeftCell="B1" zoomScale="158" workbookViewId="0">
      <selection activeCell="F8" sqref="F8"/>
    </sheetView>
  </sheetViews>
  <sheetFormatPr defaultRowHeight="14.4" x14ac:dyDescent="0.3"/>
  <sheetData>
    <row r="1" spans="3:8" x14ac:dyDescent="0.3">
      <c r="C1" t="s">
        <v>31</v>
      </c>
      <c r="D1">
        <v>457</v>
      </c>
    </row>
    <row r="2" spans="3:8" x14ac:dyDescent="0.3">
      <c r="C2" t="s">
        <v>32</v>
      </c>
      <c r="D2">
        <v>489</v>
      </c>
    </row>
    <row r="3" spans="3:8" x14ac:dyDescent="0.3">
      <c r="C3" t="s">
        <v>33</v>
      </c>
      <c r="D3">
        <v>452</v>
      </c>
      <c r="F3" t="s">
        <v>34</v>
      </c>
      <c r="G3">
        <v>489</v>
      </c>
      <c r="H3">
        <v>495</v>
      </c>
    </row>
    <row r="5" spans="3:8" x14ac:dyDescent="0.3">
      <c r="C5" t="s">
        <v>14</v>
      </c>
      <c r="D5">
        <f>(D1+D2+D3)</f>
        <v>1398</v>
      </c>
      <c r="G5">
        <f>D5+G3</f>
        <v>1887</v>
      </c>
      <c r="H5">
        <f>G5+H3</f>
        <v>2382</v>
      </c>
    </row>
    <row r="6" spans="3:8" x14ac:dyDescent="0.3">
      <c r="D6">
        <f>D5/1800</f>
        <v>0.77666666666666662</v>
      </c>
      <c r="G6">
        <f>G5/2400</f>
        <v>0.78625</v>
      </c>
      <c r="H6">
        <f>H5/3000</f>
        <v>0.79400000000000004</v>
      </c>
    </row>
    <row r="7" spans="3:8" x14ac:dyDescent="0.3">
      <c r="D7">
        <f>D2-D3</f>
        <v>37</v>
      </c>
    </row>
    <row r="8" spans="3:8" x14ac:dyDescent="0.3">
      <c r="F8">
        <f>452+60</f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1</vt:lpstr>
      <vt:lpstr>SEM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N SRILEGA</dc:creator>
  <cp:lastModifiedBy>srilegarn@gmail.com</cp:lastModifiedBy>
  <dcterms:created xsi:type="dcterms:W3CDTF">2015-06-05T18:17:20Z</dcterms:created>
  <dcterms:modified xsi:type="dcterms:W3CDTF">2026-02-22T09:52:32Z</dcterms:modified>
</cp:coreProperties>
</file>